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  <sheet name="Assumptions" sheetId="2" r:id="rId2"/>
    <sheet name="Rates" sheetId="3" r:id="rId3"/>
    <sheet name="Old_Adj" sheetId="4" r:id="rId4" state="very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Q3 Pricing Model — created by J. Marsh, last touched 11 months ago</v>
      </c>
    </row>
    <row r="3">
      <c r="A3" t="str">
        <v>Region</v>
      </c>
      <c r="B3" t="str">
        <v>Units</v>
      </c>
      <c r="C3" t="str">
        <v>Price</v>
      </c>
      <c r="D3" t="str">
        <v>Gross</v>
      </c>
      <c r="E3" t="str">
        <v>Discount</v>
      </c>
      <c r="F3" t="str">
        <v>Net</v>
      </c>
      <c r="G3" t="str">
        <v>Margin</v>
      </c>
      <c r="H3" t="str">
        <v>Flag</v>
      </c>
    </row>
    <row r="4">
      <c r="A4" t="str">
        <v>North</v>
      </c>
      <c r="B4">
        <v>1200</v>
      </c>
      <c r="C4">
        <v>24.5</v>
      </c>
      <c r="D4">
        <v>29400</v>
      </c>
      <c r="E4">
        <v>0.15</v>
      </c>
      <c r="F4">
        <f>D4-D4*E4</f>
        <v>0</v>
      </c>
      <c r="G4">
        <f>F4*0.2</f>
        <v>0</v>
      </c>
      <c r="H4">
        <f>IF(F4&gt;VLOOKUP(A4,Rates!A:C,3,FALSE),1,0)</f>
        <v>1</v>
      </c>
    </row>
    <row r="5">
      <c r="A5" t="str">
        <v>South</v>
      </c>
      <c r="B5">
        <v>1540</v>
      </c>
      <c r="C5">
        <v>25.5</v>
      </c>
      <c r="D5">
        <v>39270</v>
      </c>
      <c r="E5">
        <v>0.15</v>
      </c>
      <c r="F5">
        <f>D5-D5*E5</f>
        <v>0</v>
      </c>
      <c r="G5">
        <f>F5*0.2</f>
        <v>0</v>
      </c>
      <c r="H5">
        <f>IF(F5&gt;VLOOKUP(A5,Rates!A:C,3,FALSE),1,0)</f>
        <v>1</v>
      </c>
    </row>
    <row r="6">
      <c r="A6" t="str">
        <v>East</v>
      </c>
      <c r="B6">
        <v>1880</v>
      </c>
      <c r="C6">
        <v>26.5</v>
      </c>
      <c r="D6">
        <v>49820</v>
      </c>
      <c r="E6">
        <v>0.12</v>
      </c>
      <c r="F6">
        <f>D6-D6*E6</f>
        <v>0</v>
      </c>
      <c r="G6">
        <f>F6*0.2</f>
        <v>0</v>
      </c>
      <c r="H6">
        <f>IF(F6&gt;VLOOKUP(A6,Rates!A:C,3,FALSE),1,0)</f>
        <v>0</v>
      </c>
    </row>
    <row r="7">
      <c r="A7" t="str">
        <v>West</v>
      </c>
      <c r="B7">
        <v>2220</v>
      </c>
      <c r="C7">
        <v>27.5</v>
      </c>
      <c r="D7">
        <v>61050</v>
      </c>
      <c r="E7">
        <v>0.15</v>
      </c>
      <c r="F7">
        <f>D7-D7*E7+50</f>
        <v>0</v>
      </c>
      <c r="G7">
        <f>F7*0.2</f>
        <v>0</v>
      </c>
      <c r="H7" t="e">
        <f>IF(F7&gt;#REF!,1,0)</f>
        <v>undefined</v>
      </c>
    </row>
    <row r="8">
      <c r="A8" t="str">
        <v>Central</v>
      </c>
      <c r="B8">
        <v>2560</v>
      </c>
      <c r="C8">
        <v>28.5</v>
      </c>
      <c r="D8">
        <v>72960</v>
      </c>
      <c r="E8">
        <v>0.15</v>
      </c>
      <c r="F8">
        <f>D8-D8*E8</f>
        <v>0</v>
      </c>
      <c r="G8">
        <f>F8*0.2</f>
        <v>0</v>
      </c>
      <c r="H8">
        <f>IF(F8&gt;[Q2_Legacy.xlsx]Sheet1!$D$4,1,0)</f>
        <v>1</v>
      </c>
    </row>
    <row r="10">
      <c r="A10" t="str">
        <v>Total gross</v>
      </c>
      <c r="B10">
        <f>SUM(D4:D8)</f>
        <v>0</v>
      </c>
    </row>
    <row r="11">
      <c r="A11" t="str">
        <v>Total net</v>
      </c>
      <c r="B11">
        <f>SUMIF(F4:F8,"&gt;0",F4:F8)</f>
        <v>0</v>
      </c>
    </row>
    <row r="12">
      <c r="A12" t="str">
        <v>Blended margin</v>
      </c>
      <c r="B12">
        <f>SUM(F4:F8)/SUM(D4:D8)</f>
        <v>0</v>
      </c>
    </row>
    <row r="13">
      <c r="A13" t="str">
        <v>Run date</v>
      </c>
      <c r="B13">
        <f>TODAY()</f>
        <v>45000</v>
      </c>
    </row>
    <row r="14">
      <c r="A14" t="str">
        <v>Scenario</v>
      </c>
      <c r="B14">
        <f>IF(B15&gt;100,"Stretch",IF(B15&gt;50,"Base","Downside"))</f>
        <v>Base</v>
      </c>
    </row>
    <row r="15">
      <c r="A15" t="str">
        <v>Horizon (months)</v>
      </c>
      <c r="B15">
        <v>3</v>
      </c>
    </row>
    <row r="17">
      <c r="A17" t="str">
        <v>Average net per region</v>
      </c>
      <c r="B17">
        <f>AVERAGE(F4:F8)</f>
        <v>0</v>
      </c>
    </row>
    <row r="18">
      <c r="A18" t="str">
        <v>Best region</v>
      </c>
      <c r="B18">
        <f>INDEX(A4:A8,MATCH(MAX(F4:F8),F4:F8,0))</f>
        <v>North</v>
      </c>
    </row>
    <row r="19">
      <c r="A19" t="str">
        <v>Units at risk</v>
      </c>
      <c r="B19">
        <f>SUMIFS(B4:B8,E4:E8,"&gt;=0.15")</f>
        <v>0</v>
      </c>
    </row>
    <row r="20">
      <c r="A20" t="str">
        <v>Rounded net</v>
      </c>
      <c r="B20">
        <f>ROUND(SUM(F4:F8),2)</f>
        <v>0</v>
      </c>
    </row>
    <row r="21">
      <c r="A21" t="str">
        <v>Uplift</v>
      </c>
      <c r="B21">
        <f>B10*1.08*0.965</f>
        <v>0</v>
      </c>
    </row>
  </sheetData>
  <ignoredErrors>
    <ignoredError numberStoredAsText="1" sqref="A1:H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Assumption</v>
      </c>
      <c r="B1" t="str">
        <v>Value</v>
      </c>
      <c r="C1" t="str">
        <v>Note</v>
      </c>
    </row>
    <row r="2">
      <c r="A2" t="str">
        <v>Target margin</v>
      </c>
      <c r="B2">
        <v>0.2</v>
      </c>
      <c r="C2" t="str">
        <v>Board target</v>
      </c>
    </row>
    <row r="3">
      <c r="A3" t="str">
        <v>Discount cap</v>
      </c>
      <c r="B3">
        <v>0.15</v>
      </c>
    </row>
    <row r="4">
      <c r="A4" t="str">
        <v>FX buffer</v>
      </c>
      <c r="B4">
        <v>1.03</v>
      </c>
    </row>
    <row r="5">
      <c r="A5" t="str">
        <v>Growth</v>
      </c>
      <c r="B5">
        <v>0.08</v>
      </c>
    </row>
    <row r="6">
      <c r="A6" t="str">
        <v>Check</v>
      </c>
      <c r="B6">
        <f>B2*B5</f>
        <v>0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Region</v>
      </c>
      <c r="B1" t="str">
        <v>Floor</v>
      </c>
      <c r="C1" t="str">
        <v>Threshold</v>
      </c>
    </row>
    <row r="2">
      <c r="A2" t="str">
        <v>North</v>
      </c>
      <c r="B2">
        <v>40</v>
      </c>
      <c r="C2">
        <v>5000</v>
      </c>
    </row>
    <row r="3">
      <c r="A3" t="str">
        <v>South</v>
      </c>
      <c r="B3">
        <v>45</v>
      </c>
      <c r="C3">
        <v>6000</v>
      </c>
    </row>
    <row r="4">
      <c r="A4" t="str">
        <v>East</v>
      </c>
      <c r="B4">
        <v>50</v>
      </c>
      <c r="C4">
        <v>7000</v>
      </c>
    </row>
    <row r="5">
      <c r="A5" t="str">
        <v>West</v>
      </c>
      <c r="B5">
        <v>55</v>
      </c>
      <c r="C5">
        <v>8000</v>
      </c>
    </row>
    <row r="6">
      <c r="A6" t="str">
        <v>Central</v>
      </c>
      <c r="B6">
        <v>60</v>
      </c>
      <c r="C6">
        <v>9000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Legacy override</v>
      </c>
      <c r="B1">
        <v>0.33</v>
      </c>
    </row>
    <row r="2">
      <c r="A2" t="str">
        <v>Manual adj</v>
      </c>
      <c r="B2">
        <f>B1*B3</f>
        <v>0</v>
      </c>
    </row>
    <row r="3">
      <c r="A3">
        <v>1.4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Assumptions</vt:lpstr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